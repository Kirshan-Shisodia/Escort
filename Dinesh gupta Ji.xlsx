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Attendance" sheetId="1" r:id="rId1"/>
    <sheet name="Price Calcul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F2" i="2"/>
  <c r="E2" i="2"/>
  <c r="H2" i="2"/>
  <c r="G2" i="2"/>
  <c r="J2" i="2" l="1"/>
  <c r="L2" i="2" s="1"/>
</calcChain>
</file>

<file path=xl/sharedStrings.xml><?xml version="1.0" encoding="utf-8"?>
<sst xmlns="http://schemas.openxmlformats.org/spreadsheetml/2006/main" count="32" uniqueCount="31">
  <si>
    <t>To:</t>
  </si>
  <si>
    <t>Time Office</t>
  </si>
  <si>
    <t>TAPU (Maintenance)</t>
  </si>
  <si>
    <t>From:</t>
  </si>
  <si>
    <t>Sir,</t>
  </si>
  <si>
    <t>You are requested to please mark attendance as follow:-</t>
  </si>
  <si>
    <t>S.No</t>
  </si>
  <si>
    <t>EIN</t>
  </si>
  <si>
    <t>NAME</t>
  </si>
  <si>
    <t>DUTY</t>
  </si>
  <si>
    <t>REST DAY</t>
  </si>
  <si>
    <t>REMARKS</t>
  </si>
  <si>
    <t>DATE:</t>
  </si>
  <si>
    <t>04736</t>
  </si>
  <si>
    <t>05291</t>
  </si>
  <si>
    <t>BIRHAM SINGH</t>
  </si>
  <si>
    <t>DINESH KUMAR GUPTA</t>
  </si>
  <si>
    <t>BHANWAR SINGH</t>
  </si>
  <si>
    <t>Authorized Signatory</t>
  </si>
  <si>
    <t>Product Cost</t>
  </si>
  <si>
    <t>Shipping Cost</t>
  </si>
  <si>
    <t>Packaging Cost</t>
  </si>
  <si>
    <t>Return Loss</t>
  </si>
  <si>
    <t>Damage Loss</t>
  </si>
  <si>
    <t xml:space="preserve">Ads </t>
  </si>
  <si>
    <t>Margin</t>
  </si>
  <si>
    <t>GST %</t>
  </si>
  <si>
    <t>Product Final Cost</t>
  </si>
  <si>
    <t>Total Value Without GST</t>
  </si>
  <si>
    <t>Water Bottle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</si>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</sst>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G13" sqref="G13"/>
    </sheetView>
  </sheetViews>
  <sheetFormatPr defaultRowHeight="15" x14ac:dyDescent="0.25"/>
  <cols>
    <col min="1" max="1" width="7.28515625" customWidth="1"/>
    <col min="2" max="2" width="10.140625" customWidth="1"/>
    <col min="3" max="3" width="21.42578125" bestFit="1" customWidth="1"/>
    <col min="4" max="4" width="28.85546875" customWidth="1"/>
    <col min="5" max="5" width="27.28515625" customWidth="1"/>
    <col min="6" max="6" width="15.7109375" customWidth="1"/>
  </cols>
  <sheetData>
    <row r="2" spans="1:6" x14ac:dyDescent="0.25">
      <c r="A2" t="s">
        <v>0</v>
      </c>
      <c r="B2" t="s">
        <v>1</v>
      </c>
      <c r="E2" t="s">
        <v>12</v>
      </c>
    </row>
    <row r="3" spans="1:6" x14ac:dyDescent="0.25">
      <c r="A3" t="s">
        <v>3</v>
      </c>
      <c r="B3" t="s">
        <v>2</v>
      </c>
    </row>
    <row r="4" spans="1:6" x14ac:dyDescent="0.25">
      <c r="A4" t="s">
        <v>4</v>
      </c>
    </row>
    <row r="5" spans="1:6" x14ac:dyDescent="0.25">
      <c r="A5" s="30" t="s">
        <v>5</v>
      </c>
      <c r="B5" s="30"/>
      <c r="C5" s="30"/>
      <c r="D5" s="30"/>
      <c r="E5" s="30"/>
      <c r="F5" s="30"/>
    </row>
    <row r="6" spans="1:6" ht="15.75" thickBot="1" x14ac:dyDescent="0.3"/>
    <row r="7" spans="1:6" ht="15.75" thickBot="1" x14ac:dyDescent="0.3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5" t="s">
        <v>11</v>
      </c>
    </row>
    <row r="8" spans="1:6" x14ac:dyDescent="0.25">
      <c r="A8" s="9">
        <v>1</v>
      </c>
      <c r="B8" s="10" t="s">
        <v>13</v>
      </c>
      <c r="C8" s="11" t="s">
        <v>15</v>
      </c>
      <c r="D8" s="11"/>
      <c r="E8" s="11"/>
      <c r="F8" s="12"/>
    </row>
    <row r="9" spans="1:6" x14ac:dyDescent="0.25">
      <c r="A9" s="3">
        <v>2</v>
      </c>
      <c r="B9" s="2" t="s">
        <v>14</v>
      </c>
      <c r="C9" s="1" t="s">
        <v>16</v>
      </c>
      <c r="D9" s="1"/>
      <c r="E9" s="1"/>
      <c r="F9" s="4"/>
    </row>
    <row r="10" spans="1:6" ht="15.75" thickBot="1" x14ac:dyDescent="0.3">
      <c r="A10" s="5">
        <v>3</v>
      </c>
      <c r="B10" s="6">
        <v>31706</v>
      </c>
      <c r="C10" s="7" t="s">
        <v>17</v>
      </c>
      <c r="D10" s="7"/>
      <c r="E10" s="7"/>
      <c r="F10" s="8"/>
    </row>
    <row r="15" spans="1:6" x14ac:dyDescent="0.25">
      <c r="A15" s="30" t="s">
        <v>18</v>
      </c>
      <c r="B15" s="30"/>
      <c r="C15" s="30"/>
    </row>
  </sheetData>
  <mergeCells count="2">
    <mergeCell ref="A5:F5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M4" sqref="M4"/>
    </sheetView>
  </sheetViews>
  <sheetFormatPr defaultRowHeight="15" x14ac:dyDescent="0.25"/>
  <cols>
    <col min="2" max="2" width="20.85546875" bestFit="1" customWidth="1"/>
    <col min="3" max="3" width="13.7109375" bestFit="1" customWidth="1"/>
    <col min="4" max="4" width="14.42578125" bestFit="1" customWidth="1"/>
    <col min="5" max="5" width="15.7109375" bestFit="1" customWidth="1"/>
    <col min="6" max="6" width="12.28515625" customWidth="1"/>
    <col min="7" max="7" width="13.5703125" bestFit="1" customWidth="1"/>
    <col min="10" max="10" width="25.7109375" bestFit="1" customWidth="1"/>
    <col min="12" max="12" width="19" bestFit="1" customWidth="1"/>
  </cols>
  <sheetData>
    <row r="1" spans="1:12" ht="16.5" thickBot="1" x14ac:dyDescent="0.3">
      <c r="A1" s="22" t="s">
        <v>6</v>
      </c>
      <c r="B1" s="26" t="s">
        <v>30</v>
      </c>
      <c r="C1" s="23" t="s">
        <v>19</v>
      </c>
      <c r="D1" s="23" t="s">
        <v>20</v>
      </c>
      <c r="E1" s="23" t="s">
        <v>21</v>
      </c>
      <c r="F1" s="24" t="s">
        <v>22</v>
      </c>
      <c r="G1" s="23" t="s">
        <v>23</v>
      </c>
      <c r="H1" s="23" t="s">
        <v>24</v>
      </c>
      <c r="I1" s="23" t="s">
        <v>25</v>
      </c>
      <c r="J1" s="23" t="s">
        <v>28</v>
      </c>
      <c r="K1" s="23" t="s">
        <v>26</v>
      </c>
      <c r="L1" s="25" t="s">
        <v>27</v>
      </c>
    </row>
    <row r="2" spans="1:12" x14ac:dyDescent="0.25">
      <c r="A2" s="9">
        <v>1</v>
      </c>
      <c r="B2" s="27" t="s">
        <v>29</v>
      </c>
      <c r="C2" s="11">
        <v>65</v>
      </c>
      <c r="D2" s="11">
        <v>96</v>
      </c>
      <c r="E2" s="11">
        <f>C2*5%</f>
        <v>3.25</v>
      </c>
      <c r="F2" s="11">
        <f>C2*20%</f>
        <v>13</v>
      </c>
      <c r="G2" s="11">
        <f>C2*7%</f>
        <v>4.5500000000000007</v>
      </c>
      <c r="H2" s="11">
        <f>C2*10%</f>
        <v>6.5</v>
      </c>
      <c r="I2" s="11">
        <f>C2*35%</f>
        <v>22.75</v>
      </c>
      <c r="J2" s="11">
        <f>C2+D2+E2+F2+G2+H2+I2</f>
        <v>211.05</v>
      </c>
      <c r="K2" s="11">
        <v>18</v>
      </c>
      <c r="L2" s="12">
        <f>J2+(J2%*K2)</f>
        <v>249.03900000000002</v>
      </c>
    </row>
    <row r="3" spans="1:12" x14ac:dyDescent="0.25">
      <c r="A3" s="17"/>
      <c r="B3" s="28"/>
      <c r="C3" s="16"/>
      <c r="D3" s="16"/>
      <c r="E3" s="16"/>
      <c r="F3" s="16"/>
      <c r="G3" s="16"/>
      <c r="H3" s="16"/>
      <c r="I3" s="16"/>
      <c r="J3" s="16"/>
      <c r="K3" s="16"/>
      <c r="L3" s="18"/>
    </row>
    <row r="4" spans="1:12" x14ac:dyDescent="0.25">
      <c r="A4" s="17"/>
      <c r="B4" s="28"/>
      <c r="C4" s="16"/>
      <c r="D4" s="16"/>
      <c r="E4" s="16"/>
      <c r="F4" s="16"/>
      <c r="G4" s="16"/>
      <c r="H4" s="16"/>
      <c r="I4" s="16"/>
      <c r="J4" s="16"/>
      <c r="K4" s="16"/>
      <c r="L4" s="18"/>
    </row>
    <row r="5" spans="1:12" x14ac:dyDescent="0.25">
      <c r="A5" s="17"/>
      <c r="B5" s="28"/>
      <c r="C5" s="16"/>
      <c r="D5" s="16"/>
      <c r="E5" s="16"/>
      <c r="F5" s="16"/>
      <c r="G5" s="16"/>
      <c r="H5" s="16"/>
      <c r="I5" s="16"/>
      <c r="J5" s="16"/>
      <c r="K5" s="16"/>
      <c r="L5" s="18"/>
    </row>
    <row r="6" spans="1:12" x14ac:dyDescent="0.25">
      <c r="A6" s="17"/>
      <c r="B6" s="28"/>
      <c r="C6" s="16"/>
      <c r="D6" s="16"/>
      <c r="E6" s="16"/>
      <c r="F6" s="16"/>
      <c r="G6" s="16"/>
      <c r="H6" s="16"/>
      <c r="I6" s="16"/>
      <c r="J6" s="16"/>
      <c r="K6" s="16"/>
      <c r="L6" s="18"/>
    </row>
    <row r="7" spans="1:12" x14ac:dyDescent="0.25">
      <c r="A7" s="17"/>
      <c r="B7" s="28"/>
      <c r="C7" s="16"/>
      <c r="D7" s="16"/>
      <c r="E7" s="16"/>
      <c r="F7" s="16"/>
      <c r="G7" s="16"/>
      <c r="H7" s="16"/>
      <c r="I7" s="16"/>
      <c r="J7" s="16"/>
      <c r="K7" s="16"/>
      <c r="L7" s="18"/>
    </row>
    <row r="8" spans="1:12" x14ac:dyDescent="0.25">
      <c r="A8" s="17"/>
      <c r="B8" s="28"/>
      <c r="C8" s="16"/>
      <c r="D8" s="16"/>
      <c r="E8" s="16"/>
      <c r="F8" s="16"/>
      <c r="G8" s="16"/>
      <c r="H8" s="16"/>
      <c r="I8" s="16"/>
      <c r="J8" s="16"/>
      <c r="K8" s="16"/>
      <c r="L8" s="18"/>
    </row>
    <row r="9" spans="1:12" x14ac:dyDescent="0.25">
      <c r="A9" s="17"/>
      <c r="B9" s="28"/>
      <c r="C9" s="16"/>
      <c r="D9" s="16"/>
      <c r="E9" s="16"/>
      <c r="F9" s="16"/>
      <c r="G9" s="16"/>
      <c r="H9" s="16"/>
      <c r="I9" s="16"/>
      <c r="J9" s="16"/>
      <c r="K9" s="16"/>
      <c r="L9" s="18"/>
    </row>
    <row r="10" spans="1:12" x14ac:dyDescent="0.25">
      <c r="A10" s="17"/>
      <c r="B10" s="28"/>
      <c r="C10" s="16"/>
      <c r="D10" s="16"/>
      <c r="E10" s="16"/>
      <c r="F10" s="16"/>
      <c r="G10" s="16"/>
      <c r="H10" s="16"/>
      <c r="I10" s="16"/>
      <c r="J10" s="16"/>
      <c r="K10" s="16"/>
      <c r="L10" s="18"/>
    </row>
    <row r="11" spans="1:12" x14ac:dyDescent="0.25">
      <c r="A11" s="17"/>
      <c r="B11" s="28"/>
      <c r="C11" s="16"/>
      <c r="D11" s="16"/>
      <c r="E11" s="16"/>
      <c r="F11" s="16"/>
      <c r="G11" s="16"/>
      <c r="H11" s="16"/>
      <c r="I11" s="16"/>
      <c r="J11" s="16"/>
      <c r="K11" s="16"/>
      <c r="L11" s="18"/>
    </row>
    <row r="12" spans="1:12" x14ac:dyDescent="0.25">
      <c r="A12" s="17"/>
      <c r="B12" s="28"/>
      <c r="C12" s="16"/>
      <c r="D12" s="16"/>
      <c r="E12" s="16"/>
      <c r="F12" s="16"/>
      <c r="G12" s="16"/>
      <c r="H12" s="16"/>
      <c r="I12" s="16"/>
      <c r="J12" s="16"/>
      <c r="K12" s="16"/>
      <c r="L12" s="18"/>
    </row>
    <row r="13" spans="1:12" x14ac:dyDescent="0.25">
      <c r="A13" s="17"/>
      <c r="B13" s="28"/>
      <c r="C13" s="16"/>
      <c r="D13" s="16"/>
      <c r="E13" s="16"/>
      <c r="F13" s="16"/>
      <c r="G13" s="16"/>
      <c r="H13" s="16"/>
      <c r="I13" s="16"/>
      <c r="J13" s="16"/>
      <c r="K13" s="16"/>
      <c r="L13" s="18"/>
    </row>
    <row r="14" spans="1:12" x14ac:dyDescent="0.25">
      <c r="A14" s="17"/>
      <c r="B14" s="28"/>
      <c r="C14" s="16"/>
      <c r="D14" s="16"/>
      <c r="E14" s="16"/>
      <c r="F14" s="16"/>
      <c r="G14" s="16"/>
      <c r="H14" s="16"/>
      <c r="I14" s="16"/>
      <c r="J14" s="16"/>
      <c r="K14" s="16"/>
      <c r="L14" s="18"/>
    </row>
    <row r="15" spans="1:12" x14ac:dyDescent="0.25">
      <c r="A15" s="17"/>
      <c r="B15" s="28"/>
      <c r="C15" s="16"/>
      <c r="D15" s="16"/>
      <c r="E15" s="16"/>
      <c r="F15" s="16"/>
      <c r="G15" s="16"/>
      <c r="H15" s="16"/>
      <c r="I15" s="16"/>
      <c r="J15" s="16"/>
      <c r="K15" s="16"/>
      <c r="L15" s="18"/>
    </row>
    <row r="16" spans="1:12" x14ac:dyDescent="0.25">
      <c r="A16" s="17"/>
      <c r="B16" s="28"/>
      <c r="C16" s="16"/>
      <c r="D16" s="16"/>
      <c r="E16" s="16"/>
      <c r="F16" s="16"/>
      <c r="G16" s="16"/>
      <c r="H16" s="16"/>
      <c r="I16" s="16"/>
      <c r="J16" s="16"/>
      <c r="K16" s="16"/>
      <c r="L16" s="18"/>
    </row>
    <row r="17" spans="1:12" x14ac:dyDescent="0.25">
      <c r="A17" s="17"/>
      <c r="B17" s="28"/>
      <c r="C17" s="16"/>
      <c r="D17" s="16"/>
      <c r="E17" s="16"/>
      <c r="F17" s="16"/>
      <c r="G17" s="16"/>
      <c r="H17" s="16"/>
      <c r="I17" s="16"/>
      <c r="J17" s="16"/>
      <c r="K17" s="16"/>
      <c r="L17" s="18"/>
    </row>
    <row r="18" spans="1:12" ht="15.75" thickBot="1" x14ac:dyDescent="0.3">
      <c r="A18" s="19"/>
      <c r="B18" s="29"/>
      <c r="C18" s="20"/>
      <c r="D18" s="20"/>
      <c r="E18" s="20"/>
      <c r="F18" s="20"/>
      <c r="G18" s="20"/>
      <c r="H18" s="20"/>
      <c r="I18" s="20"/>
      <c r="J18" s="20"/>
      <c r="K18" s="20"/>
      <c r="L18" s="2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Price 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2025-12-26T14:51:49Z</dcterms:modified>
</cp:coreProperties>
</file>